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S4SE\"/>
    </mc:Choice>
  </mc:AlternateContent>
  <bookViews>
    <workbookView xWindow="0" yWindow="0" windowWidth="12570" windowHeight="7155"/>
  </bookViews>
  <sheets>
    <sheet name="Sheet1" sheetId="1" r:id="rId1"/>
  </sheets>
  <definedNames>
    <definedName name="_xlnm._FilterDatabase" localSheetId="0" hidden="1">Sheet1!$A$1:$F$10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G5" i="1"/>
  <c r="G2" i="1"/>
  <c r="D8" i="1"/>
  <c r="E8" i="1"/>
  <c r="E3" i="1"/>
  <c r="E5" i="1"/>
  <c r="E4" i="1"/>
  <c r="E6" i="1"/>
  <c r="E7" i="1"/>
  <c r="E2" i="1"/>
  <c r="D5" i="1"/>
  <c r="D3" i="1"/>
  <c r="D4" i="1"/>
  <c r="D6" i="1"/>
  <c r="D7" i="1"/>
  <c r="D2" i="1"/>
</calcChain>
</file>

<file path=xl/sharedStrings.xml><?xml version="1.0" encoding="utf-8"?>
<sst xmlns="http://schemas.openxmlformats.org/spreadsheetml/2006/main" count="26" uniqueCount="15">
  <si>
    <t>Data Point</t>
  </si>
  <si>
    <t>LOC</t>
  </si>
  <si>
    <t>DEV</t>
  </si>
  <si>
    <t>A</t>
  </si>
  <si>
    <t>B</t>
  </si>
  <si>
    <t>C</t>
  </si>
  <si>
    <t>E</t>
  </si>
  <si>
    <t>D</t>
  </si>
  <si>
    <t>F</t>
  </si>
  <si>
    <t>C2</t>
  </si>
  <si>
    <t>C1</t>
  </si>
  <si>
    <t>Assoc.</t>
  </si>
  <si>
    <t>x</t>
  </si>
  <si>
    <t>WCSS</t>
  </si>
  <si>
    <t>Within-Cluster Sum of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</si>
</sst>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="210" zoomScaleNormal="210" workbookViewId="0">
      <selection activeCell="K5" sqref="K5"/>
    </sheetView>
  </sheetViews>
  <sheetFormatPr defaultRowHeight="15" x14ac:dyDescent="0.25"/>
  <cols>
    <col min="1" max="10" width="9.140625" style="1"/>
    <col min="11" max="11" width="28.4257812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9</v>
      </c>
      <c r="F1" s="1" t="s">
        <v>11</v>
      </c>
      <c r="G1" s="1" t="s">
        <v>13</v>
      </c>
    </row>
    <row r="2" spans="1:11" x14ac:dyDescent="0.25">
      <c r="A2" s="2" t="s">
        <v>3</v>
      </c>
      <c r="B2" s="2">
        <v>2</v>
      </c>
      <c r="C2" s="2">
        <v>10</v>
      </c>
      <c r="D2" s="1">
        <f>SQRT((B2-$B$9)^2+(C2-$C$9)^2)</f>
        <v>2.5447200238926087</v>
      </c>
      <c r="E2" s="1">
        <f>SQRT((B2-$B$10)^2+(C2-$C$10)^2)</f>
        <v>7.1063352017759476</v>
      </c>
      <c r="F2" s="1" t="s">
        <v>10</v>
      </c>
      <c r="G2" s="4">
        <f>SUM(SQRT((B2-$B$9)^2+(C2-$C$9)^2),SQRT((B3-$B$9)^2+(C3-$C$9)^2),SQRT((B4-$B$9)^2+(C4-$C$9)^2))</f>
        <v>7.415174203186762</v>
      </c>
    </row>
    <row r="3" spans="1:11" x14ac:dyDescent="0.25">
      <c r="A3" s="2" t="s">
        <v>4</v>
      </c>
      <c r="B3" s="2">
        <v>2</v>
      </c>
      <c r="C3" s="2">
        <v>5</v>
      </c>
      <c r="D3" s="1">
        <f>SQRT((B3-$B$9)^2+(C3-$C$9)^2)</f>
        <v>2.8417600180170037</v>
      </c>
      <c r="E3" s="1">
        <f>SQRT((B3-$B$10)^2+(C3-$C$10)^2)</f>
        <v>4.5276925690687087</v>
      </c>
      <c r="F3" s="1" t="s">
        <v>10</v>
      </c>
      <c r="G3" s="4"/>
      <c r="J3" s="1" t="s">
        <v>13</v>
      </c>
      <c r="K3" s="1" t="s">
        <v>14</v>
      </c>
    </row>
    <row r="4" spans="1:11" x14ac:dyDescent="0.25">
      <c r="A4" s="2" t="s">
        <v>7</v>
      </c>
      <c r="B4" s="2">
        <v>5</v>
      </c>
      <c r="C4" s="2">
        <v>8</v>
      </c>
      <c r="D4" s="1">
        <f>SQRT((B4-$B$9)^2+(C4-$C$9)^2)</f>
        <v>2.0286941612771501</v>
      </c>
      <c r="E4" s="1">
        <f>SQRT((B4-$B$10)^2+(C4-$C$10)^2)</f>
        <v>3.8078865529319543</v>
      </c>
      <c r="F4" s="1" t="s">
        <v>10</v>
      </c>
      <c r="G4" s="4"/>
    </row>
    <row r="5" spans="1:11" x14ac:dyDescent="0.25">
      <c r="A5" s="2" t="s">
        <v>5</v>
      </c>
      <c r="B5" s="2">
        <v>8</v>
      </c>
      <c r="C5" s="2">
        <v>4</v>
      </c>
      <c r="D5" s="1">
        <f>SQRT((B5-$B$9)^2+(C5-$C$9)^2)</f>
        <v>6.1964183202879388</v>
      </c>
      <c r="E5" s="1">
        <f>SQRT((B5-$B$10)^2+(C5-$C$10)^2)</f>
        <v>1.5811388300841898</v>
      </c>
      <c r="F5" s="1" t="s">
        <v>9</v>
      </c>
      <c r="G5" s="4">
        <f>SUM(SQRT((B5-$B$10)^2+(C5-$C$10)^2),SQRT((B6-$B$10)^2+(C6-$C$10)^2),SQRT((B7-$B$10)^2+(C7-$C$10)^2),SQRT((B8-$B$10)^2+(C8-$C$10)^2))</f>
        <v>4.5764912225414749</v>
      </c>
      <c r="J5" s="1" t="s">
        <v>13</v>
      </c>
      <c r="K5" s="1">
        <f>SUM(G2:G8)</f>
        <v>11.991665425728236</v>
      </c>
    </row>
    <row r="6" spans="1:11" x14ac:dyDescent="0.25">
      <c r="A6" s="2" t="s">
        <v>6</v>
      </c>
      <c r="B6" s="2">
        <v>7</v>
      </c>
      <c r="C6" s="2">
        <v>5</v>
      </c>
      <c r="D6" s="1">
        <f>SQRT((B6-$B$9)^2+(C6-$C$9)^2)</f>
        <v>4.8037069019664385</v>
      </c>
      <c r="E6" s="1">
        <f>SQRT((B6-$B$10)^2+(C6-$C$10)^2)</f>
        <v>0.70710678118654757</v>
      </c>
      <c r="F6" s="1" t="s">
        <v>9</v>
      </c>
      <c r="G6" s="4"/>
    </row>
    <row r="7" spans="1:11" x14ac:dyDescent="0.25">
      <c r="A7" s="2" t="s">
        <v>8</v>
      </c>
      <c r="B7" s="2">
        <v>6</v>
      </c>
      <c r="C7" s="2">
        <v>4</v>
      </c>
      <c r="D7" s="1">
        <f>SQRT((B7-$B$9)^2+(C7-$C$9)^2)</f>
        <v>4.7323989688106396</v>
      </c>
      <c r="E7" s="1">
        <f>SQRT((B7-$B$10)^2+(C7-$C$10)^2)</f>
        <v>0.70710678118654757</v>
      </c>
      <c r="F7" s="1" t="s">
        <v>9</v>
      </c>
      <c r="G7" s="4"/>
    </row>
    <row r="8" spans="1:11" x14ac:dyDescent="0.25">
      <c r="A8" s="2" t="s">
        <v>12</v>
      </c>
      <c r="B8" s="2">
        <v>5</v>
      </c>
      <c r="C8" s="2">
        <v>5</v>
      </c>
      <c r="D8" s="1">
        <f>SQRT((B8-$B$9)^2+(C8-$C$9)^2)</f>
        <v>3.3280024038452858</v>
      </c>
      <c r="E8" s="1">
        <f>SQRT((B8-$B$10)^2+(C8-$C$10)^2)</f>
        <v>1.5811388300841898</v>
      </c>
      <c r="F8" s="1" t="s">
        <v>9</v>
      </c>
      <c r="G8" s="4"/>
    </row>
    <row r="9" spans="1:11" x14ac:dyDescent="0.25">
      <c r="A9" s="3" t="s">
        <v>10</v>
      </c>
      <c r="B9" s="3">
        <v>3</v>
      </c>
      <c r="C9" s="3">
        <v>7.66</v>
      </c>
    </row>
    <row r="10" spans="1:11" x14ac:dyDescent="0.25">
      <c r="A10" s="3" t="s">
        <v>9</v>
      </c>
      <c r="B10" s="3">
        <v>6.5</v>
      </c>
      <c r="C10" s="3">
        <v>4.5</v>
      </c>
    </row>
  </sheetData>
  <autoFilter ref="A1:F10">
    <sortState ref="A2:F10">
      <sortCondition ref="F1:F10"/>
    </sortState>
  </autoFilter>
  <mergeCells count="2">
    <mergeCell ref="G2:G4"/>
    <mergeCell ref="G5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2026-03-25T05:26:03Z</dcterms:created>
  <dcterms:modified xsi:type="dcterms:W3CDTF">2026-03-26T06:39:28Z</dcterms:modified>
</cp:coreProperties>
</file>