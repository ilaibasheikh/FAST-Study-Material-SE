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DS4SE\Codebases\"/>
    </mc:Choice>
  </mc:AlternateContent>
  <bookViews>
    <workbookView xWindow="0" yWindow="0" windowWidth="28800" windowHeight="11865"/>
  </bookViews>
  <sheets>
    <sheet name="Sheet2" sheetId="2" r:id="rId1"/>
  </sheets>
  <definedNames>
    <definedName name="_xlnm._FilterDatabase" localSheetId="0" hidden="1">Sheet2!$A$1:$F$10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3" i="2" l="1"/>
  <c r="G22" i="2"/>
  <c r="G21" i="2"/>
  <c r="G18" i="2"/>
  <c r="C27" i="2"/>
  <c r="C26" i="2"/>
  <c r="C24" i="2"/>
  <c r="C23" i="2"/>
  <c r="C18" i="2"/>
  <c r="C17" i="2"/>
  <c r="C14" i="2"/>
  <c r="G19" i="2"/>
  <c r="B27" i="2"/>
  <c r="B24" i="2"/>
  <c r="B21" i="2"/>
  <c r="B18" i="2"/>
  <c r="B26" i="2"/>
  <c r="B23" i="2"/>
  <c r="B20" i="2"/>
  <c r="B17" i="2"/>
  <c r="B14" i="2"/>
  <c r="B13" i="2"/>
</calcChain>
</file>

<file path=xl/sharedStrings.xml><?xml version="1.0" encoding="utf-8"?>
<sst xmlns="http://schemas.openxmlformats.org/spreadsheetml/2006/main" count="72" uniqueCount="38">
  <si>
    <t>Module</t>
  </si>
  <si>
    <t>LOC</t>
  </si>
  <si>
    <t>M1</t>
  </si>
  <si>
    <t>Low</t>
  </si>
  <si>
    <t>M2</t>
  </si>
  <si>
    <t>High</t>
  </si>
  <si>
    <t>M3</t>
  </si>
  <si>
    <t>M4</t>
  </si>
  <si>
    <t>M5</t>
  </si>
  <si>
    <t>Churn</t>
  </si>
  <si>
    <t>Devs</t>
  </si>
  <si>
    <t>Complexity</t>
  </si>
  <si>
    <t>Buggy</t>
  </si>
  <si>
    <t>Yes</t>
  </si>
  <si>
    <t>No</t>
  </si>
  <si>
    <t>Medium</t>
  </si>
  <si>
    <t>M6</t>
  </si>
  <si>
    <t>M7</t>
  </si>
  <si>
    <t>M8</t>
  </si>
  <si>
    <t>M10</t>
  </si>
  <si>
    <t>?</t>
  </si>
  <si>
    <t>P(Yes) =</t>
  </si>
  <si>
    <t>P(No) =</t>
  </si>
  <si>
    <t xml:space="preserve">P(LOC=High|Yes) = </t>
  </si>
  <si>
    <t xml:space="preserve">P(LOC=High|No) = </t>
  </si>
  <si>
    <t xml:space="preserve">P(churn=Low|Yes) = </t>
  </si>
  <si>
    <t xml:space="preserve">P(churn=Low|No) = </t>
  </si>
  <si>
    <t xml:space="preserve">P(dev=3|Yes) = </t>
  </si>
  <si>
    <t xml:space="preserve">P(dev=3|No) = </t>
  </si>
  <si>
    <t xml:space="preserve">P(complexity=Low|Yes) = </t>
  </si>
  <si>
    <t xml:space="preserve">P(complexity=Low|No) = </t>
  </si>
  <si>
    <t xml:space="preserve"> </t>
  </si>
  <si>
    <t>P(C|X) = P(C ) * P(x1|C) * P(x2|C) * … * P(xn|C)</t>
  </si>
  <si>
    <t>Original Probabilities</t>
  </si>
  <si>
    <t xml:space="preserve">Laplacian </t>
  </si>
  <si>
    <t>Original</t>
  </si>
  <si>
    <t>Laplacian</t>
  </si>
  <si>
    <t>P(C|X) = log(P(C )) + log(P(x1|C)) + log(P(x2|C)) + … + log(P(xn|C))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</si>
</sst>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1" formatCode="0.000000"/>
  </numFmts>
  <fonts count="4" x14ac:knownFonts="1">
    <font>
      <sz val="11"/>
      <color theme="1"/>
      <name val="Calibri"/>
      <family val="2"/>
      <scheme val="minor"/>
    </font>
    <font>
      <b/>
      <sz val="20"/>
      <color rgb="FF000000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1" fontId="2" fillId="0" borderId="0" xfId="0" applyNumberFormat="1" applyFont="1" applyAlignment="1">
      <alignment horizontal="center" vertical="center"/>
    </xf>
    <xf numFmtId="171" fontId="2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tabSelected="1" zoomScale="80" zoomScaleNormal="80" workbookViewId="0">
      <selection activeCell="B18" sqref="B18"/>
    </sheetView>
  </sheetViews>
  <sheetFormatPr defaultRowHeight="26.25" x14ac:dyDescent="0.25"/>
  <cols>
    <col min="1" max="1" width="42.7109375" style="4" bestFit="1" customWidth="1"/>
    <col min="2" max="2" width="34.7109375" style="4" bestFit="1" customWidth="1"/>
    <col min="3" max="3" width="16.140625" style="4" customWidth="1"/>
    <col min="4" max="4" width="9.42578125" style="4" bestFit="1" customWidth="1"/>
    <col min="5" max="5" width="20" style="4" bestFit="1" customWidth="1"/>
    <col min="6" max="6" width="11.28515625" style="4" bestFit="1" customWidth="1"/>
    <col min="7" max="7" width="16.7109375" style="4" bestFit="1" customWidth="1"/>
    <col min="8" max="16384" width="9.140625" style="4"/>
  </cols>
  <sheetData>
    <row r="1" spans="1:9" s="2" customFormat="1" x14ac:dyDescent="0.4">
      <c r="A1" s="1" t="s">
        <v>0</v>
      </c>
      <c r="B1" s="1" t="s">
        <v>1</v>
      </c>
      <c r="C1" s="1" t="s">
        <v>9</v>
      </c>
      <c r="D1" s="1" t="s">
        <v>10</v>
      </c>
      <c r="E1" s="1" t="s">
        <v>11</v>
      </c>
      <c r="F1" s="1" t="s">
        <v>12</v>
      </c>
    </row>
    <row r="2" spans="1:9" s="2" customFormat="1" x14ac:dyDescent="0.4">
      <c r="A2" s="3" t="s">
        <v>2</v>
      </c>
      <c r="B2" s="3" t="s">
        <v>5</v>
      </c>
      <c r="C2" s="3" t="s">
        <v>5</v>
      </c>
      <c r="D2" s="3">
        <v>3</v>
      </c>
      <c r="E2" s="3" t="s">
        <v>5</v>
      </c>
      <c r="F2" s="3" t="s">
        <v>13</v>
      </c>
    </row>
    <row r="3" spans="1:9" s="2" customFormat="1" x14ac:dyDescent="0.4">
      <c r="A3" s="3" t="s">
        <v>4</v>
      </c>
      <c r="B3" s="3" t="s">
        <v>3</v>
      </c>
      <c r="C3" s="3" t="s">
        <v>3</v>
      </c>
      <c r="D3" s="3">
        <v>1</v>
      </c>
      <c r="E3" s="3" t="s">
        <v>3</v>
      </c>
      <c r="F3" s="3" t="s">
        <v>14</v>
      </c>
    </row>
    <row r="4" spans="1:9" s="2" customFormat="1" x14ac:dyDescent="0.4">
      <c r="A4" s="3" t="s">
        <v>6</v>
      </c>
      <c r="B4" s="3" t="s">
        <v>15</v>
      </c>
      <c r="C4" s="3" t="s">
        <v>5</v>
      </c>
      <c r="D4" s="3">
        <v>2</v>
      </c>
      <c r="E4" s="3" t="s">
        <v>15</v>
      </c>
      <c r="F4" s="3" t="s">
        <v>13</v>
      </c>
    </row>
    <row r="5" spans="1:9" s="2" customFormat="1" x14ac:dyDescent="0.4">
      <c r="A5" s="3" t="s">
        <v>7</v>
      </c>
      <c r="B5" s="3" t="s">
        <v>3</v>
      </c>
      <c r="C5" s="3" t="s">
        <v>3</v>
      </c>
      <c r="D5" s="3">
        <v>1</v>
      </c>
      <c r="E5" s="3" t="s">
        <v>3</v>
      </c>
      <c r="F5" s="3" t="s">
        <v>14</v>
      </c>
    </row>
    <row r="6" spans="1:9" s="2" customFormat="1" x14ac:dyDescent="0.4">
      <c r="A6" s="3" t="s">
        <v>8</v>
      </c>
      <c r="B6" s="3" t="s">
        <v>5</v>
      </c>
      <c r="C6" s="3" t="s">
        <v>15</v>
      </c>
      <c r="D6" s="3">
        <v>4</v>
      </c>
      <c r="E6" s="3" t="s">
        <v>5</v>
      </c>
      <c r="F6" s="3" t="s">
        <v>13</v>
      </c>
    </row>
    <row r="7" spans="1:9" s="2" customFormat="1" x14ac:dyDescent="0.4">
      <c r="A7" s="3" t="s">
        <v>16</v>
      </c>
      <c r="B7" s="3" t="s">
        <v>15</v>
      </c>
      <c r="C7" s="3" t="s">
        <v>3</v>
      </c>
      <c r="D7" s="3">
        <v>2</v>
      </c>
      <c r="E7" s="3" t="s">
        <v>3</v>
      </c>
      <c r="F7" s="3" t="s">
        <v>14</v>
      </c>
    </row>
    <row r="8" spans="1:9" s="2" customFormat="1" x14ac:dyDescent="0.4">
      <c r="A8" s="3" t="s">
        <v>17</v>
      </c>
      <c r="B8" s="3" t="s">
        <v>5</v>
      </c>
      <c r="C8" s="3" t="s">
        <v>5</v>
      </c>
      <c r="D8" s="3">
        <v>3</v>
      </c>
      <c r="E8" s="3" t="s">
        <v>5</v>
      </c>
      <c r="F8" s="3" t="s">
        <v>13</v>
      </c>
    </row>
    <row r="9" spans="1:9" s="2" customFormat="1" x14ac:dyDescent="0.4">
      <c r="A9" s="3" t="s">
        <v>18</v>
      </c>
      <c r="B9" s="3" t="s">
        <v>3</v>
      </c>
      <c r="C9" s="3" t="s">
        <v>15</v>
      </c>
      <c r="D9" s="3">
        <v>1</v>
      </c>
      <c r="E9" s="3" t="s">
        <v>15</v>
      </c>
      <c r="F9" s="3" t="s">
        <v>14</v>
      </c>
    </row>
    <row r="10" spans="1:9" s="2" customFormat="1" x14ac:dyDescent="0.4">
      <c r="A10" s="3" t="s">
        <v>19</v>
      </c>
      <c r="B10" s="3" t="s">
        <v>5</v>
      </c>
      <c r="C10" s="3" t="s">
        <v>3</v>
      </c>
      <c r="D10" s="3">
        <v>3</v>
      </c>
      <c r="E10" s="3" t="s">
        <v>3</v>
      </c>
      <c r="F10" s="3" t="s">
        <v>20</v>
      </c>
    </row>
    <row r="11" spans="1:9" s="2" customFormat="1" x14ac:dyDescent="0.4"/>
    <row r="12" spans="1:9" s="2" customFormat="1" x14ac:dyDescent="0.4">
      <c r="B12" s="2" t="s">
        <v>33</v>
      </c>
      <c r="C12" s="2" t="s">
        <v>34</v>
      </c>
    </row>
    <row r="13" spans="1:9" x14ac:dyDescent="0.25">
      <c r="A13" s="3" t="s">
        <v>21</v>
      </c>
      <c r="B13" s="4">
        <f>4/8</f>
        <v>0.5</v>
      </c>
      <c r="C13" s="4">
        <f>(4+1)/(8+2)</f>
        <v>0.5</v>
      </c>
    </row>
    <row r="14" spans="1:9" x14ac:dyDescent="0.25">
      <c r="A14" s="3" t="s">
        <v>22</v>
      </c>
      <c r="B14" s="4">
        <f>4/8</f>
        <v>0.5</v>
      </c>
      <c r="C14" s="4">
        <f>(4+1)/(8+2)</f>
        <v>0.5</v>
      </c>
    </row>
    <row r="15" spans="1:9" x14ac:dyDescent="0.25">
      <c r="A15" s="3"/>
    </row>
    <row r="16" spans="1:9" x14ac:dyDescent="0.25">
      <c r="D16" s="4" t="s">
        <v>31</v>
      </c>
      <c r="I16" s="4" t="s">
        <v>32</v>
      </c>
    </row>
    <row r="17" spans="1:9" x14ac:dyDescent="0.25">
      <c r="A17" s="4" t="s">
        <v>23</v>
      </c>
      <c r="B17" s="4">
        <f>3/4</f>
        <v>0.75</v>
      </c>
      <c r="C17" s="4">
        <f>(3+1)/(4+2)</f>
        <v>0.66666666666666663</v>
      </c>
    </row>
    <row r="18" spans="1:9" x14ac:dyDescent="0.25">
      <c r="A18" s="4" t="s">
        <v>24</v>
      </c>
      <c r="B18" s="4">
        <f>0/4</f>
        <v>0</v>
      </c>
      <c r="C18" s="4">
        <f>(0+1)/(4+2)</f>
        <v>0.16666666666666666</v>
      </c>
      <c r="E18" s="5" t="s">
        <v>35</v>
      </c>
      <c r="F18" s="4" t="s">
        <v>13</v>
      </c>
      <c r="G18" s="4">
        <f>B13*B17*B20*B23*B26</f>
        <v>0</v>
      </c>
    </row>
    <row r="19" spans="1:9" x14ac:dyDescent="0.25">
      <c r="E19" s="5"/>
      <c r="F19" s="4" t="s">
        <v>14</v>
      </c>
      <c r="G19" s="4">
        <f>B14*B18*B21*B24*B27</f>
        <v>0</v>
      </c>
    </row>
    <row r="20" spans="1:9" x14ac:dyDescent="0.25">
      <c r="A20" s="4" t="s">
        <v>25</v>
      </c>
      <c r="B20" s="4">
        <f>0/4</f>
        <v>0</v>
      </c>
      <c r="C20" s="4">
        <v>0.16667000000000001</v>
      </c>
    </row>
    <row r="21" spans="1:9" x14ac:dyDescent="0.25">
      <c r="A21" s="4" t="s">
        <v>26</v>
      </c>
      <c r="B21" s="4">
        <f>3/4</f>
        <v>0.75</v>
      </c>
      <c r="C21" s="4">
        <v>0.66669999999999996</v>
      </c>
      <c r="E21" s="5" t="s">
        <v>36</v>
      </c>
      <c r="F21" s="4" t="s">
        <v>13</v>
      </c>
      <c r="G21" s="6">
        <f>C13*C17*C20*C23*C26</f>
        <v>4.6297222222222226E-3</v>
      </c>
    </row>
    <row r="22" spans="1:9" x14ac:dyDescent="0.25">
      <c r="E22" s="5"/>
      <c r="F22" s="4" t="s">
        <v>14</v>
      </c>
      <c r="G22" s="7">
        <f>C14*C18*C21*C24*C27</f>
        <v>6.1731481481481472E-3</v>
      </c>
    </row>
    <row r="23" spans="1:9" x14ac:dyDescent="0.25">
      <c r="A23" s="4" t="s">
        <v>27</v>
      </c>
      <c r="B23" s="4">
        <f>2/4</f>
        <v>0.5</v>
      </c>
      <c r="C23" s="4">
        <f>3/6</f>
        <v>0.5</v>
      </c>
    </row>
    <row r="24" spans="1:9" x14ac:dyDescent="0.25">
      <c r="A24" s="4" t="s">
        <v>28</v>
      </c>
      <c r="B24" s="4">
        <f>0/4</f>
        <v>0</v>
      </c>
      <c r="C24" s="4">
        <f>1/6</f>
        <v>0.16666666666666666</v>
      </c>
    </row>
    <row r="25" spans="1:9" x14ac:dyDescent="0.25">
      <c r="I25" s="4" t="s">
        <v>37</v>
      </c>
    </row>
    <row r="26" spans="1:9" x14ac:dyDescent="0.25">
      <c r="A26" s="4" t="s">
        <v>29</v>
      </c>
      <c r="B26" s="4">
        <f>0/4</f>
        <v>0</v>
      </c>
      <c r="C26" s="4">
        <f>1/6</f>
        <v>0.16666666666666666</v>
      </c>
    </row>
    <row r="27" spans="1:9" x14ac:dyDescent="0.25">
      <c r="A27" s="4" t="s">
        <v>30</v>
      </c>
      <c r="B27" s="4">
        <f>3/4</f>
        <v>0.75</v>
      </c>
      <c r="C27" s="4">
        <f>4/6</f>
        <v>0.66666666666666663</v>
      </c>
    </row>
  </sheetData>
  <autoFilter ref="A1:F10"/>
  <mergeCells count="2">
    <mergeCell ref="E18:E19"/>
    <mergeCell ref="E21:E22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2026-03-11T04:18:44Z</dcterms:created>
  <dcterms:modified xsi:type="dcterms:W3CDTF">2026-03-11T05:45:07Z</dcterms:modified>
</cp:coreProperties>
</file>