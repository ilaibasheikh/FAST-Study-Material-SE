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4SE\"/>
    </mc:Choice>
  </mc:AlternateContent>
  <bookViews>
    <workbookView xWindow="0" yWindow="0" windowWidth="28800" windowHeight="11865" activeTab="4"/>
  </bookViews>
  <sheets>
    <sheet name="original dataset" sheetId="1" r:id="rId1"/>
    <sheet name="pass 1" sheetId="2" r:id="rId2"/>
    <sheet name="pass 2" sheetId="3" r:id="rId3"/>
    <sheet name="pass 3" sheetId="4" r:id="rId4"/>
    <sheet name="pass 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5" l="1"/>
  <c r="B8" i="4"/>
  <c r="P5" i="4"/>
  <c r="O5" i="4"/>
  <c r="N5" i="4"/>
  <c r="M5" i="4"/>
  <c r="L5" i="4"/>
  <c r="B10" i="4"/>
  <c r="B7" i="4"/>
  <c r="B16" i="3"/>
  <c r="B14" i="3"/>
  <c r="B20" i="2"/>
  <c r="B11" i="3"/>
  <c r="B10" i="3"/>
  <c r="B9" i="3"/>
  <c r="P7" i="2"/>
  <c r="O7" i="2"/>
  <c r="N7" i="2"/>
  <c r="M7" i="2"/>
  <c r="L7" i="2"/>
  <c r="B23" i="2"/>
  <c r="B21" i="2"/>
  <c r="B18" i="2"/>
  <c r="B17" i="2"/>
  <c r="B16" i="2"/>
  <c r="B14" i="2"/>
  <c r="B13" i="2"/>
  <c r="B12" i="2"/>
  <c r="B11" i="2"/>
</calcChain>
</file>

<file path=xl/sharedStrings.xml><?xml version="1.0" encoding="utf-8"?>
<sst xmlns="http://schemas.openxmlformats.org/spreadsheetml/2006/main" count="119" uniqueCount="40">
  <si>
    <t>Module_ID</t>
  </si>
  <si>
    <t>Cyclomatic Complexity</t>
  </si>
  <si>
    <t>Code Churn (%)</t>
  </si>
  <si>
    <t>Coupling (CBO)</t>
  </si>
  <si>
    <t>Defect Density</t>
  </si>
  <si>
    <t>M1</t>
  </si>
  <si>
    <t>M2</t>
  </si>
  <si>
    <t>M3</t>
  </si>
  <si>
    <t>M4</t>
  </si>
  <si>
    <t>M5</t>
  </si>
  <si>
    <t>LOC</t>
  </si>
  <si>
    <t>dist(MI,M2)</t>
  </si>
  <si>
    <t>dist(M1,M3)</t>
  </si>
  <si>
    <t>dist(M1,M4)</t>
  </si>
  <si>
    <t>dist(M1,M5)</t>
  </si>
  <si>
    <t>dist(M2,M3)</t>
  </si>
  <si>
    <t>dist(M2,M4)</t>
  </si>
  <si>
    <t>dist(M2,M5)</t>
  </si>
  <si>
    <t>dist(M4,M5)</t>
  </si>
  <si>
    <t>dist(M3,M5)</t>
  </si>
  <si>
    <t>dist(M3,M4)</t>
  </si>
  <si>
    <t>smallest distance, hence we merge the two data points by averageing the values, and name it M15</t>
  </si>
  <si>
    <t>-&gt;</t>
  </si>
  <si>
    <t>M15</t>
  </si>
  <si>
    <t>will be deleted before next pass</t>
  </si>
  <si>
    <t xml:space="preserve">new merged document </t>
  </si>
  <si>
    <t>dist(M2,M15)</t>
  </si>
  <si>
    <t>don’t need to recalcuate as we have a copy of caluation in previous pass</t>
  </si>
  <si>
    <t>need to have calvuation for this</t>
  </si>
  <si>
    <t>dist(M3,M15)</t>
  </si>
  <si>
    <t>dist(M4,M15)</t>
  </si>
  <si>
    <t>smallest distance, this we merge M3 and M4, make a new datapoint by averaging them and naming it M34</t>
  </si>
  <si>
    <t>M34</t>
  </si>
  <si>
    <t>delet it before next pass</t>
  </si>
  <si>
    <t>dist(M2,M34)</t>
  </si>
  <si>
    <t>dist(M34,M15)</t>
  </si>
  <si>
    <t>smallest distance; hence we merege them by averageing and naming the new doc as M215</t>
  </si>
  <si>
    <t>M215</t>
  </si>
  <si>
    <t>to be deleted before nexe pass</t>
  </si>
  <si>
    <t>dist(m34,M215)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</si>
</sst>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5" x14ac:dyDescent="0.25"/>
  <cols>
    <col min="1" max="1" width="12.5703125" customWidth="1"/>
    <col min="2" max="2" width="12.42578125" bestFit="1" customWidth="1"/>
    <col min="3" max="3" width="11.140625" bestFit="1" customWidth="1"/>
    <col min="4" max="6" width="17.5703125" customWidth="1"/>
  </cols>
  <sheetData>
    <row r="1" spans="1:6" ht="3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2">
        <v>120</v>
      </c>
      <c r="C2" s="2">
        <v>8</v>
      </c>
      <c r="D2" s="2">
        <v>15</v>
      </c>
      <c r="E2" s="2">
        <v>5</v>
      </c>
      <c r="F2" s="2">
        <v>0.1</v>
      </c>
    </row>
    <row r="3" spans="1:6" x14ac:dyDescent="0.25">
      <c r="A3" s="2" t="s">
        <v>6</v>
      </c>
      <c r="B3" s="2">
        <v>150</v>
      </c>
      <c r="C3" s="2">
        <v>10</v>
      </c>
      <c r="D3" s="2">
        <v>18</v>
      </c>
      <c r="E3" s="2">
        <v>6</v>
      </c>
      <c r="F3" s="2">
        <v>0.12</v>
      </c>
    </row>
    <row r="4" spans="1:6" x14ac:dyDescent="0.25">
      <c r="A4" s="2" t="s">
        <v>7</v>
      </c>
      <c r="B4" s="2">
        <v>500</v>
      </c>
      <c r="C4" s="2">
        <v>25</v>
      </c>
      <c r="D4" s="2">
        <v>60</v>
      </c>
      <c r="E4" s="2">
        <v>18</v>
      </c>
      <c r="F4" s="2">
        <v>0.45</v>
      </c>
    </row>
    <row r="5" spans="1:6" x14ac:dyDescent="0.25">
      <c r="A5" s="2" t="s">
        <v>8</v>
      </c>
      <c r="B5" s="2">
        <v>520</v>
      </c>
      <c r="C5" s="2">
        <v>28</v>
      </c>
      <c r="D5" s="2">
        <v>65</v>
      </c>
      <c r="E5" s="2">
        <v>20</v>
      </c>
      <c r="F5" s="2">
        <v>0.5</v>
      </c>
    </row>
    <row r="6" spans="1:6" x14ac:dyDescent="0.25">
      <c r="A6" s="2" t="s">
        <v>9</v>
      </c>
      <c r="B6" s="2">
        <v>130</v>
      </c>
      <c r="C6" s="2">
        <v>7</v>
      </c>
      <c r="D6" s="2">
        <v>12</v>
      </c>
      <c r="E6" s="2">
        <v>4</v>
      </c>
      <c r="F6" s="2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A14" sqref="A14:B14"/>
    </sheetView>
  </sheetViews>
  <sheetFormatPr defaultRowHeight="15" x14ac:dyDescent="0.25"/>
  <cols>
    <col min="1" max="1" width="12.42578125" bestFit="1" customWidth="1"/>
  </cols>
  <sheetData>
    <row r="1" spans="1:17" ht="6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22</v>
      </c>
      <c r="H1" s="4"/>
      <c r="I1" s="4"/>
      <c r="J1" s="4"/>
      <c r="K1" s="1" t="s">
        <v>0</v>
      </c>
      <c r="L1" s="1" t="s">
        <v>10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17" x14ac:dyDescent="0.25">
      <c r="A2" s="2" t="s">
        <v>5</v>
      </c>
      <c r="B2" s="2">
        <v>120</v>
      </c>
      <c r="C2" s="2">
        <v>8</v>
      </c>
      <c r="D2" s="2">
        <v>15</v>
      </c>
      <c r="E2" s="2">
        <v>5</v>
      </c>
      <c r="F2" s="2">
        <v>0.1</v>
      </c>
      <c r="G2" s="4"/>
      <c r="H2" s="4"/>
      <c r="I2" s="4"/>
      <c r="J2" s="4"/>
      <c r="K2" s="2" t="s">
        <v>5</v>
      </c>
      <c r="L2" s="2">
        <v>120</v>
      </c>
      <c r="M2" s="2">
        <v>8</v>
      </c>
      <c r="N2" s="2">
        <v>15</v>
      </c>
      <c r="O2" s="2">
        <v>5</v>
      </c>
      <c r="P2" s="2">
        <v>0.1</v>
      </c>
      <c r="Q2" t="s">
        <v>24</v>
      </c>
    </row>
    <row r="3" spans="1:17" x14ac:dyDescent="0.25">
      <c r="A3" s="2" t="s">
        <v>6</v>
      </c>
      <c r="B3" s="2">
        <v>150</v>
      </c>
      <c r="C3" s="2">
        <v>10</v>
      </c>
      <c r="D3" s="2">
        <v>18</v>
      </c>
      <c r="E3" s="2">
        <v>6</v>
      </c>
      <c r="F3" s="2">
        <v>0.12</v>
      </c>
      <c r="G3" s="4"/>
      <c r="H3" s="4"/>
      <c r="I3" s="4"/>
      <c r="J3" s="4"/>
      <c r="K3" s="2" t="s">
        <v>6</v>
      </c>
      <c r="L3" s="2">
        <v>150</v>
      </c>
      <c r="M3" s="2">
        <v>10</v>
      </c>
      <c r="N3" s="2">
        <v>18</v>
      </c>
      <c r="O3" s="2">
        <v>6</v>
      </c>
      <c r="P3" s="2">
        <v>0.12</v>
      </c>
    </row>
    <row r="4" spans="1:17" x14ac:dyDescent="0.25">
      <c r="A4" s="2" t="s">
        <v>7</v>
      </c>
      <c r="B4" s="2">
        <v>500</v>
      </c>
      <c r="C4" s="2">
        <v>25</v>
      </c>
      <c r="D4" s="2">
        <v>60</v>
      </c>
      <c r="E4" s="2">
        <v>18</v>
      </c>
      <c r="F4" s="2">
        <v>0.45</v>
      </c>
      <c r="G4" s="4"/>
      <c r="H4" s="4"/>
      <c r="I4" s="4"/>
      <c r="J4" s="4"/>
      <c r="K4" s="2" t="s">
        <v>7</v>
      </c>
      <c r="L4" s="2">
        <v>500</v>
      </c>
      <c r="M4" s="2">
        <v>25</v>
      </c>
      <c r="N4" s="2">
        <v>60</v>
      </c>
      <c r="O4" s="2">
        <v>18</v>
      </c>
      <c r="P4" s="2">
        <v>0.45</v>
      </c>
    </row>
    <row r="5" spans="1:17" x14ac:dyDescent="0.25">
      <c r="A5" s="2" t="s">
        <v>8</v>
      </c>
      <c r="B5" s="2">
        <v>520</v>
      </c>
      <c r="C5" s="2">
        <v>28</v>
      </c>
      <c r="D5" s="2">
        <v>65</v>
      </c>
      <c r="E5" s="2">
        <v>20</v>
      </c>
      <c r="F5" s="2">
        <v>0.5</v>
      </c>
      <c r="G5" s="4"/>
      <c r="H5" s="4"/>
      <c r="I5" s="4"/>
      <c r="J5" s="4"/>
      <c r="K5" s="2" t="s">
        <v>8</v>
      </c>
      <c r="L5" s="2">
        <v>520</v>
      </c>
      <c r="M5" s="2">
        <v>28</v>
      </c>
      <c r="N5" s="2">
        <v>65</v>
      </c>
      <c r="O5" s="2">
        <v>20</v>
      </c>
      <c r="P5" s="2">
        <v>0.5</v>
      </c>
    </row>
    <row r="6" spans="1:17" x14ac:dyDescent="0.25">
      <c r="A6" s="2" t="s">
        <v>9</v>
      </c>
      <c r="B6" s="2">
        <v>130</v>
      </c>
      <c r="C6" s="2">
        <v>7</v>
      </c>
      <c r="D6" s="2">
        <v>12</v>
      </c>
      <c r="E6" s="2">
        <v>4</v>
      </c>
      <c r="F6" s="2">
        <v>0.08</v>
      </c>
      <c r="G6" s="4"/>
      <c r="H6" s="4"/>
      <c r="I6" s="4"/>
      <c r="J6" s="4"/>
      <c r="K6" s="2" t="s">
        <v>9</v>
      </c>
      <c r="L6" s="2">
        <v>130</v>
      </c>
      <c r="M6" s="2">
        <v>7</v>
      </c>
      <c r="N6" s="2">
        <v>12</v>
      </c>
      <c r="O6" s="2">
        <v>4</v>
      </c>
      <c r="P6" s="2">
        <v>0.08</v>
      </c>
      <c r="Q6" t="s">
        <v>24</v>
      </c>
    </row>
    <row r="7" spans="1:17" x14ac:dyDescent="0.25">
      <c r="K7" s="2" t="s">
        <v>23</v>
      </c>
      <c r="L7">
        <f>AVERAGE(L2,L6)</f>
        <v>125</v>
      </c>
      <c r="M7">
        <f t="shared" ref="M7:P7" si="0">AVERAGE(M2,M6)</f>
        <v>7.5</v>
      </c>
      <c r="N7">
        <f t="shared" si="0"/>
        <v>13.5</v>
      </c>
      <c r="O7">
        <f t="shared" si="0"/>
        <v>4.5</v>
      </c>
      <c r="P7">
        <f t="shared" si="0"/>
        <v>0.09</v>
      </c>
      <c r="Q7" t="s">
        <v>25</v>
      </c>
    </row>
    <row r="11" spans="1:17" x14ac:dyDescent="0.25">
      <c r="A11" t="s">
        <v>11</v>
      </c>
      <c r="B11">
        <f>SQRT(((B3-B2)^2)+((C3-C2)^2)+((D3-D2)^2)+((E3-E2)^2)+((F3-F2)^2))</f>
        <v>30.23243953107324</v>
      </c>
    </row>
    <row r="12" spans="1:17" x14ac:dyDescent="0.25">
      <c r="A12" t="s">
        <v>12</v>
      </c>
      <c r="B12">
        <f>SQRT((($B$2-B4)^2)+(($C$2-C4)^2)+(($D$2-D4)^2)+(($E$2-E4)^2)+(($F$2-F4)^2))</f>
        <v>383.25333984193799</v>
      </c>
    </row>
    <row r="13" spans="1:17" x14ac:dyDescent="0.25">
      <c r="A13" t="s">
        <v>13</v>
      </c>
      <c r="B13">
        <f>SQRT((($B$2-B5)^2)+(($C$2-C5)^2)+(($D$2-D5)^2)+(($E$2-E5)^2)+(($F$2-F5)^2))</f>
        <v>403.88755861006661</v>
      </c>
    </row>
    <row r="14" spans="1:17" x14ac:dyDescent="0.25">
      <c r="A14" t="s">
        <v>14</v>
      </c>
      <c r="B14">
        <f>SQRT((($B$2-B6)^2)+(($C$2-C6)^2)+(($D$2-D6)^2)+(($E$2-E6)^2)+(($F$2-F6)^2))</f>
        <v>10.535672735995552</v>
      </c>
      <c r="C14" t="s">
        <v>21</v>
      </c>
    </row>
    <row r="16" spans="1:17" x14ac:dyDescent="0.25">
      <c r="A16" t="s">
        <v>15</v>
      </c>
      <c r="B16">
        <f>SQRT((($B$3-B4)^2)+(($C$3-C4)^2)+(($D$3-D4)^2)+(($E$3-E4)^2)+(($F$3-F4)^2))</f>
        <v>353.03414693199295</v>
      </c>
    </row>
    <row r="17" spans="1:2" x14ac:dyDescent="0.25">
      <c r="A17" t="s">
        <v>16</v>
      </c>
      <c r="B17">
        <f>SQRT((($B$3-B5)^2)+(($C$3-C5)^2)+(($D$3-D5)^2)+(($E$3-E5)^2)+(($F$3-F5)^2))</f>
        <v>373.66983340912066</v>
      </c>
    </row>
    <row r="18" spans="1:2" x14ac:dyDescent="0.25">
      <c r="A18" t="s">
        <v>17</v>
      </c>
      <c r="B18">
        <f>SQRT((($B$3-B6)^2)+(($C$3-C6)^2)+(($D$3-D6)^2)+(($E$3-E6)^2)+(($F$3-F6)^2))</f>
        <v>21.189657854717712</v>
      </c>
    </row>
    <row r="20" spans="1:2" x14ac:dyDescent="0.25">
      <c r="A20" t="s">
        <v>20</v>
      </c>
      <c r="B20">
        <f>SQRT((($B$4-B5)^2)+(($C$4-C5)^2)+(($D$4-D5)^2)+(($E$4-E5)^2)+(($F$4-F5)^2))</f>
        <v>20.928509263681445</v>
      </c>
    </row>
    <row r="21" spans="1:2" x14ac:dyDescent="0.25">
      <c r="A21" t="s">
        <v>19</v>
      </c>
      <c r="B21">
        <f>SQRT((($B$4-B6)^2)+(($C$4-C6)^2)+(($D$4-D6)^2)+(($E$4-E6)^2)+(($F$4-F6)^2))</f>
        <v>373.7969193291994</v>
      </c>
    </row>
    <row r="23" spans="1:2" x14ac:dyDescent="0.25">
      <c r="A23" t="s">
        <v>18</v>
      </c>
      <c r="B23">
        <f>SQRT((($B$6-B5)^2)+(($C$6-C5)^2)+(($D$6-D5)^2)+(($E$6-E5)^2)+(($F$6-F5)^2))</f>
        <v>394.46948728640598</v>
      </c>
    </row>
  </sheetData>
  <mergeCells count="1">
    <mergeCell ref="G1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G29" sqref="G29"/>
    </sheetView>
  </sheetViews>
  <sheetFormatPr defaultRowHeight="15" x14ac:dyDescent="0.25"/>
  <cols>
    <col min="1" max="1" width="12.42578125" bestFit="1" customWidth="1"/>
  </cols>
  <sheetData>
    <row r="1" spans="1:17" ht="6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22</v>
      </c>
      <c r="H1" s="4"/>
      <c r="I1" s="4"/>
      <c r="J1" s="4"/>
      <c r="K1" s="1" t="s">
        <v>0</v>
      </c>
      <c r="L1" s="1" t="s">
        <v>10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17" x14ac:dyDescent="0.25">
      <c r="A2" s="2" t="s">
        <v>6</v>
      </c>
      <c r="B2" s="2">
        <v>150</v>
      </c>
      <c r="C2" s="2">
        <v>10</v>
      </c>
      <c r="D2" s="2">
        <v>18</v>
      </c>
      <c r="E2" s="2">
        <v>6</v>
      </c>
      <c r="F2" s="2">
        <v>0.12</v>
      </c>
      <c r="G2" s="4"/>
      <c r="H2" s="4"/>
      <c r="I2" s="4"/>
      <c r="J2" s="4"/>
      <c r="K2" s="2" t="s">
        <v>6</v>
      </c>
      <c r="L2" s="2">
        <v>150</v>
      </c>
      <c r="M2" s="2">
        <v>10</v>
      </c>
      <c r="N2" s="2">
        <v>18</v>
      </c>
      <c r="O2" s="2">
        <v>6</v>
      </c>
      <c r="P2" s="2">
        <v>0.12</v>
      </c>
    </row>
    <row r="3" spans="1:17" x14ac:dyDescent="0.25">
      <c r="A3" s="2" t="s">
        <v>7</v>
      </c>
      <c r="B3" s="2">
        <v>500</v>
      </c>
      <c r="C3" s="2">
        <v>25</v>
      </c>
      <c r="D3" s="2">
        <v>60</v>
      </c>
      <c r="E3" s="2">
        <v>18</v>
      </c>
      <c r="F3" s="2">
        <v>0.45</v>
      </c>
      <c r="G3" s="4"/>
      <c r="H3" s="4"/>
      <c r="I3" s="4"/>
      <c r="J3" s="4"/>
      <c r="K3" s="2" t="s">
        <v>7</v>
      </c>
      <c r="L3" s="2">
        <v>500</v>
      </c>
      <c r="M3" s="2">
        <v>25</v>
      </c>
      <c r="N3" s="2">
        <v>60</v>
      </c>
      <c r="O3" s="2">
        <v>18</v>
      </c>
      <c r="P3" s="2">
        <v>0.45</v>
      </c>
      <c r="Q3" t="s">
        <v>33</v>
      </c>
    </row>
    <row r="4" spans="1:17" x14ac:dyDescent="0.25">
      <c r="A4" s="2" t="s">
        <v>8</v>
      </c>
      <c r="B4" s="2">
        <v>520</v>
      </c>
      <c r="C4" s="2">
        <v>28</v>
      </c>
      <c r="D4" s="2">
        <v>65</v>
      </c>
      <c r="E4" s="2">
        <v>20</v>
      </c>
      <c r="F4" s="2">
        <v>0.5</v>
      </c>
      <c r="G4" s="4"/>
      <c r="H4" s="4"/>
      <c r="I4" s="4"/>
      <c r="J4" s="4"/>
      <c r="K4" s="2" t="s">
        <v>8</v>
      </c>
      <c r="L4" s="2">
        <v>520</v>
      </c>
      <c r="M4" s="2">
        <v>28</v>
      </c>
      <c r="N4" s="2">
        <v>65</v>
      </c>
      <c r="O4" s="2">
        <v>20</v>
      </c>
      <c r="P4" s="2">
        <v>0.5</v>
      </c>
      <c r="Q4" t="s">
        <v>33</v>
      </c>
    </row>
    <row r="5" spans="1:17" x14ac:dyDescent="0.25">
      <c r="A5" s="2" t="s">
        <v>23</v>
      </c>
      <c r="B5">
        <v>125</v>
      </c>
      <c r="C5">
        <v>7.5</v>
      </c>
      <c r="D5">
        <v>13.5</v>
      </c>
      <c r="E5">
        <v>4.5</v>
      </c>
      <c r="F5">
        <v>0.09</v>
      </c>
      <c r="K5" s="2" t="s">
        <v>23</v>
      </c>
      <c r="L5">
        <v>125</v>
      </c>
      <c r="M5">
        <v>7.5</v>
      </c>
      <c r="N5">
        <v>13.5</v>
      </c>
      <c r="O5">
        <v>4.5</v>
      </c>
      <c r="P5">
        <v>0.09</v>
      </c>
    </row>
    <row r="6" spans="1:17" x14ac:dyDescent="0.25">
      <c r="K6" t="s">
        <v>32</v>
      </c>
      <c r="L6">
        <v>510</v>
      </c>
      <c r="M6">
        <v>26.5</v>
      </c>
      <c r="N6">
        <v>62.5</v>
      </c>
      <c r="O6">
        <v>19</v>
      </c>
      <c r="P6">
        <v>0.47499999999999998</v>
      </c>
      <c r="Q6" t="s">
        <v>25</v>
      </c>
    </row>
    <row r="9" spans="1:17" x14ac:dyDescent="0.25">
      <c r="A9" t="s">
        <v>15</v>
      </c>
      <c r="B9">
        <f>SQRT((($B$2-B3)^2)+(($C$2-C3)^2)+(($D$2-D3)^2)+(($E$2-E3)^2)+(($F$2-F3)^2))</f>
        <v>353.03414693199295</v>
      </c>
      <c r="C9" s="4" t="s">
        <v>27</v>
      </c>
      <c r="D9" s="4"/>
      <c r="E9" s="4"/>
      <c r="F9" s="4"/>
      <c r="G9" s="4"/>
      <c r="H9" s="4"/>
      <c r="I9" s="4"/>
    </row>
    <row r="10" spans="1:17" x14ac:dyDescent="0.25">
      <c r="A10" t="s">
        <v>16</v>
      </c>
      <c r="B10">
        <f>SQRT((($B$2-B4)^2)+(($C$2-C4)^2)+(($D$2-D4)^2)+(($E$2-E4)^2)+(($F$2-F4)^2))</f>
        <v>373.66983340912066</v>
      </c>
      <c r="C10" s="4"/>
      <c r="D10" s="4"/>
      <c r="E10" s="4"/>
      <c r="F10" s="4"/>
      <c r="G10" s="4"/>
      <c r="H10" s="4"/>
      <c r="I10" s="4"/>
    </row>
    <row r="11" spans="1:17" x14ac:dyDescent="0.25">
      <c r="A11" t="s">
        <v>26</v>
      </c>
      <c r="B11">
        <f>SQRT((($B$2-B5)^2)+(($C$2-C5)^2)+(($D$2-D5)^2)+(($E$2-E5)^2)+(($F$2-F5)^2))</f>
        <v>25.568552950841781</v>
      </c>
      <c r="C11" t="s">
        <v>28</v>
      </c>
    </row>
    <row r="13" spans="1:17" x14ac:dyDescent="0.25">
      <c r="A13" t="s">
        <v>20</v>
      </c>
      <c r="B13">
        <v>20.928509263681445</v>
      </c>
      <c r="C13" t="s">
        <v>31</v>
      </c>
    </row>
    <row r="14" spans="1:17" x14ac:dyDescent="0.25">
      <c r="A14" t="s">
        <v>29</v>
      </c>
      <c r="B14">
        <f>SQRT((($B$3-B5)^2)+(($C$3-C5)^2)+(($D$3-D5)^2)+(($E$3-E5)^2)+(($F$3-F5)^2))</f>
        <v>378.51800432740316</v>
      </c>
    </row>
    <row r="16" spans="1:17" x14ac:dyDescent="0.25">
      <c r="A16" t="s">
        <v>30</v>
      </c>
      <c r="B16">
        <f>SQRT((($B$4-B5)^2)+(($C$4-C5)^2)+(($D$4-D5)^2)+(($E$4-E5)^2)+(($F$4-F5)^2))</f>
        <v>399.17153969189741</v>
      </c>
    </row>
  </sheetData>
  <mergeCells count="2">
    <mergeCell ref="G1:J4"/>
    <mergeCell ref="C9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B7" sqref="B7"/>
    </sheetView>
  </sheetViews>
  <sheetFormatPr defaultRowHeight="15" x14ac:dyDescent="0.25"/>
  <cols>
    <col min="1" max="1" width="12.42578125" bestFit="1" customWidth="1"/>
  </cols>
  <sheetData>
    <row r="1" spans="1:17" ht="6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22</v>
      </c>
      <c r="H1" s="3"/>
      <c r="I1" s="3"/>
      <c r="J1" s="3"/>
      <c r="K1" s="1" t="s">
        <v>0</v>
      </c>
      <c r="L1" s="1" t="s">
        <v>10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17" x14ac:dyDescent="0.25">
      <c r="A2" s="2" t="s">
        <v>6</v>
      </c>
      <c r="B2" s="2">
        <v>150</v>
      </c>
      <c r="C2" s="2">
        <v>10</v>
      </c>
      <c r="D2" s="2">
        <v>18</v>
      </c>
      <c r="E2" s="2">
        <v>6</v>
      </c>
      <c r="F2" s="2">
        <v>0.12</v>
      </c>
      <c r="G2" s="3"/>
      <c r="H2" s="3"/>
      <c r="I2" s="3"/>
      <c r="J2" s="3"/>
      <c r="K2" s="2" t="s">
        <v>6</v>
      </c>
      <c r="L2" s="2">
        <v>150</v>
      </c>
      <c r="M2" s="2">
        <v>10</v>
      </c>
      <c r="N2" s="2">
        <v>18</v>
      </c>
      <c r="O2" s="2">
        <v>6</v>
      </c>
      <c r="P2" s="2">
        <v>0.12</v>
      </c>
      <c r="Q2" t="s">
        <v>38</v>
      </c>
    </row>
    <row r="3" spans="1:17" x14ac:dyDescent="0.25">
      <c r="A3" s="2" t="s">
        <v>23</v>
      </c>
      <c r="B3">
        <v>125</v>
      </c>
      <c r="C3">
        <v>7.5</v>
      </c>
      <c r="D3">
        <v>13.5</v>
      </c>
      <c r="E3">
        <v>4.5</v>
      </c>
      <c r="F3">
        <v>0.09</v>
      </c>
      <c r="G3" s="3"/>
      <c r="H3" s="3"/>
      <c r="I3" s="3"/>
      <c r="J3" s="3"/>
      <c r="K3" s="2" t="s">
        <v>23</v>
      </c>
      <c r="L3">
        <v>125</v>
      </c>
      <c r="M3">
        <v>7.5</v>
      </c>
      <c r="N3">
        <v>13.5</v>
      </c>
      <c r="O3">
        <v>4.5</v>
      </c>
      <c r="P3">
        <v>0.09</v>
      </c>
      <c r="Q3" t="s">
        <v>38</v>
      </c>
    </row>
    <row r="4" spans="1:17" x14ac:dyDescent="0.25">
      <c r="A4" t="s">
        <v>32</v>
      </c>
      <c r="B4">
        <v>510</v>
      </c>
      <c r="C4">
        <v>26.5</v>
      </c>
      <c r="D4">
        <v>62.5</v>
      </c>
      <c r="E4">
        <v>19</v>
      </c>
      <c r="F4">
        <v>0.47499999999999998</v>
      </c>
      <c r="G4" s="3"/>
      <c r="H4" s="3"/>
      <c r="I4" s="3"/>
      <c r="J4" s="3"/>
      <c r="K4" t="s">
        <v>32</v>
      </c>
      <c r="L4">
        <v>510</v>
      </c>
      <c r="M4">
        <v>26.5</v>
      </c>
      <c r="N4">
        <v>62.5</v>
      </c>
      <c r="O4">
        <v>19</v>
      </c>
      <c r="P4">
        <v>0.47499999999999998</v>
      </c>
    </row>
    <row r="5" spans="1:17" x14ac:dyDescent="0.25">
      <c r="K5" t="s">
        <v>37</v>
      </c>
      <c r="L5">
        <f>AVERAGE(L2:L3)</f>
        <v>137.5</v>
      </c>
      <c r="M5">
        <f t="shared" ref="M5:P5" si="0">AVERAGE(M2:M3)</f>
        <v>8.75</v>
      </c>
      <c r="N5">
        <f t="shared" si="0"/>
        <v>15.75</v>
      </c>
      <c r="O5">
        <f t="shared" si="0"/>
        <v>5.25</v>
      </c>
      <c r="P5">
        <f t="shared" si="0"/>
        <v>0.105</v>
      </c>
      <c r="Q5" t="s">
        <v>25</v>
      </c>
    </row>
    <row r="7" spans="1:17" x14ac:dyDescent="0.25">
      <c r="A7" t="s">
        <v>26</v>
      </c>
      <c r="B7">
        <f>SQRT((($B$2-B3)^2)+(($C$2-C3)^2)+(($D$2-D3)^2)+(($E$2-E3)^2)+(($F$2-F3)^2))</f>
        <v>25.568552950841781</v>
      </c>
      <c r="C7" s="6" t="s">
        <v>36</v>
      </c>
      <c r="D7" s="6"/>
      <c r="E7" s="6"/>
      <c r="F7" s="6"/>
      <c r="G7" s="6"/>
      <c r="H7" s="6"/>
      <c r="I7" s="6"/>
    </row>
    <row r="8" spans="1:17" x14ac:dyDescent="0.25">
      <c r="A8" t="s">
        <v>34</v>
      </c>
      <c r="B8">
        <f>SQRT((($B$2-B4)^2)+(($C$2-C4)^2)+(($D$2-D4)^2)+(($E$2-E4)^2)+(($F$2-F4)^2))</f>
        <v>363.34780311018807</v>
      </c>
      <c r="C8" s="6"/>
      <c r="D8" s="6"/>
      <c r="E8" s="6"/>
      <c r="F8" s="6"/>
      <c r="G8" s="6"/>
      <c r="H8" s="6"/>
      <c r="I8" s="6"/>
    </row>
    <row r="10" spans="1:17" x14ac:dyDescent="0.25">
      <c r="A10" t="s">
        <v>35</v>
      </c>
      <c r="B10">
        <f>SQRT(((B4-B3)^2)+((C4-C3)^2)+((D4-D3)^2)+((E4-E3)^2)+((F4-F3)^2))</f>
        <v>388.84109636842658</v>
      </c>
    </row>
  </sheetData>
  <mergeCells count="1">
    <mergeCell ref="G1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B8" sqref="B8"/>
    </sheetView>
  </sheetViews>
  <sheetFormatPr defaultRowHeight="15" x14ac:dyDescent="0.25"/>
  <cols>
    <col min="1" max="1" width="12.42578125" bestFit="1" customWidth="1"/>
  </cols>
  <sheetData>
    <row r="1" spans="1:16" ht="6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5"/>
      <c r="H1" s="5"/>
      <c r="I1" s="5"/>
      <c r="J1" s="5"/>
      <c r="K1" s="1"/>
      <c r="L1" s="1"/>
      <c r="M1" s="1"/>
      <c r="N1" s="1"/>
      <c r="O1" s="1"/>
      <c r="P1" s="1"/>
    </row>
    <row r="2" spans="1:16" x14ac:dyDescent="0.25">
      <c r="A2" s="2" t="s">
        <v>32</v>
      </c>
      <c r="B2" s="2">
        <v>510</v>
      </c>
      <c r="C2" s="2">
        <v>26.5</v>
      </c>
      <c r="D2" s="2">
        <v>62.5</v>
      </c>
      <c r="E2" s="2">
        <v>19</v>
      </c>
      <c r="F2" s="2">
        <v>0.47499999999999998</v>
      </c>
      <c r="G2" s="5"/>
      <c r="H2" s="5"/>
      <c r="I2" s="5"/>
      <c r="J2" s="5"/>
      <c r="K2" s="2"/>
      <c r="L2" s="2"/>
      <c r="M2" s="2"/>
      <c r="N2" s="2"/>
      <c r="O2" s="2"/>
      <c r="P2" s="2"/>
    </row>
    <row r="3" spans="1:16" x14ac:dyDescent="0.25">
      <c r="A3" s="2" t="s">
        <v>37</v>
      </c>
      <c r="B3">
        <v>137.5</v>
      </c>
      <c r="C3">
        <v>8.75</v>
      </c>
      <c r="D3">
        <v>15.75</v>
      </c>
      <c r="E3">
        <v>5.25</v>
      </c>
      <c r="F3">
        <v>0.105</v>
      </c>
      <c r="G3" s="5"/>
      <c r="H3" s="5"/>
      <c r="I3" s="5"/>
      <c r="J3" s="5"/>
      <c r="K3" s="2"/>
    </row>
    <row r="4" spans="1:16" x14ac:dyDescent="0.25">
      <c r="G4" s="5"/>
      <c r="H4" s="5"/>
      <c r="I4" s="5"/>
      <c r="J4" s="5"/>
    </row>
    <row r="7" spans="1:16" x14ac:dyDescent="0.25">
      <c r="C7" s="6"/>
      <c r="D7" s="6"/>
      <c r="E7" s="6"/>
      <c r="F7" s="6"/>
      <c r="G7" s="6"/>
      <c r="H7" s="6"/>
      <c r="I7" s="6"/>
    </row>
    <row r="8" spans="1:16" x14ac:dyDescent="0.25">
      <c r="A8" t="s">
        <v>39</v>
      </c>
      <c r="B8">
        <f>SQRT((($B$2-B3)^2)+(($C$2-C3)^2)+(($D$2-D3)^2)+(($E$2-E3)^2)+(($F$2-F3)^2))</f>
        <v>376.09317249851802</v>
      </c>
      <c r="C8" s="6"/>
      <c r="D8" s="6"/>
      <c r="E8" s="6"/>
      <c r="F8" s="6"/>
      <c r="G8" s="6"/>
      <c r="H8" s="6"/>
      <c r="I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dataset</vt:lpstr>
      <vt:lpstr>pass 1</vt:lpstr>
      <vt:lpstr>pass 2</vt:lpstr>
      <vt:lpstr>pass 3</vt:lpstr>
      <vt:lpstr>pass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2026-05-30T16:32:58Z</dcterms:created>
  <dcterms:modified xsi:type="dcterms:W3CDTF">2026-05-30T17:25:53Z</dcterms:modified>
</cp:coreProperties>
</file>