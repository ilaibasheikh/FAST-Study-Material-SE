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cuments\DS4SE\Codebases\"/>
    </mc:Choice>
  </mc:AlternateContent>
  <bookViews>
    <workbookView xWindow="0" yWindow="0" windowWidth="28800" windowHeight="11865"/>
  </bookViews>
  <sheets>
    <sheet name="k-nn Classification" sheetId="1" r:id="rId1"/>
    <sheet name="k-NN Regression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8" i="2" l="1"/>
  <c r="B12" i="2"/>
  <c r="B13" i="2"/>
  <c r="B14" i="2"/>
  <c r="B15" i="2"/>
  <c r="B11" i="2"/>
  <c r="B15" i="1"/>
  <c r="B14" i="1"/>
  <c r="B13" i="1"/>
  <c r="B12" i="1"/>
  <c r="B11" i="1"/>
</calcChain>
</file>

<file path=xl/sharedStrings.xml><?xml version="1.0" encoding="utf-8"?>
<sst xmlns="http://schemas.openxmlformats.org/spreadsheetml/2006/main" count="62" uniqueCount="29">
  <si>
    <t>Module</t>
  </si>
  <si>
    <t>Lang_Java</t>
  </si>
  <si>
    <t>Lang_Python</t>
  </si>
  <si>
    <t>Lang_CPP</t>
  </si>
  <si>
    <t>LOC</t>
  </si>
  <si>
    <t>Coverage</t>
  </si>
  <si>
    <t>Bugs</t>
  </si>
  <si>
    <t>DefectRisk</t>
  </si>
  <si>
    <t>M1</t>
  </si>
  <si>
    <t>Low</t>
  </si>
  <si>
    <t>M2</t>
  </si>
  <si>
    <t>High</t>
  </si>
  <si>
    <t>M3</t>
  </si>
  <si>
    <t>M4</t>
  </si>
  <si>
    <t>M5</t>
  </si>
  <si>
    <t>?</t>
  </si>
  <si>
    <t>T</t>
  </si>
  <si>
    <t>T, M1</t>
  </si>
  <si>
    <t>T, M2</t>
  </si>
  <si>
    <t>T,M3</t>
  </si>
  <si>
    <t>T,M4</t>
  </si>
  <si>
    <t>T,M5</t>
  </si>
  <si>
    <t>vectors</t>
  </si>
  <si>
    <t>distance</t>
  </si>
  <si>
    <t>rank</t>
  </si>
  <si>
    <t xml:space="preserve">T' Defect Risk </t>
  </si>
  <si>
    <t>DefectRisk_High</t>
  </si>
  <si>
    <t>DefectRisk_Low</t>
  </si>
  <si>
    <t>T' Coverage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</si>
</sst>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3.95"/>
      <color rgb="FF000000"/>
      <name val="Arial"/>
      <family val="2"/>
    </font>
    <font>
      <sz val="13.95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left" vertical="center" wrapText="1" indent="1"/>
    </xf>
    <xf numFmtId="0" fontId="2" fillId="0" borderId="0" xfId="0" applyFont="1" applyAlignment="1">
      <alignment horizontal="center" vertical="center" wrapText="1"/>
    </xf>
    <xf numFmtId="0" fontId="0" fillId="0" borderId="0" xfId="0"/>
    <xf numFmtId="0" fontId="0" fillId="2" borderId="0" xfId="0" applyFill="1"/>
    <xf numFmtId="0" fontId="2" fillId="2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0" fillId="0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abSelected="1" workbookViewId="0">
      <selection activeCell="F6" sqref="F6"/>
    </sheetView>
  </sheetViews>
  <sheetFormatPr defaultRowHeight="15" x14ac:dyDescent="0.25"/>
  <cols>
    <col min="1" max="1" width="22.28515625" customWidth="1"/>
    <col min="2" max="2" width="17.28515625" bestFit="1" customWidth="1"/>
    <col min="3" max="3" width="20.5703125" bestFit="1" customWidth="1"/>
    <col min="4" max="4" width="16.7109375" bestFit="1" customWidth="1"/>
    <col min="5" max="5" width="8.42578125" bestFit="1" customWidth="1"/>
    <col min="6" max="6" width="15.5703125" bestFit="1" customWidth="1"/>
    <col min="7" max="7" width="9.5703125" bestFit="1" customWidth="1"/>
    <col min="8" max="8" width="16.85546875" bestFit="1" customWidth="1"/>
  </cols>
  <sheetData>
    <row r="1" spans="1:8" ht="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8" x14ac:dyDescent="0.25">
      <c r="A2" s="5" t="s">
        <v>8</v>
      </c>
      <c r="B2" s="5">
        <v>1</v>
      </c>
      <c r="C2" s="5">
        <v>0</v>
      </c>
      <c r="D2" s="5">
        <v>0</v>
      </c>
      <c r="E2" s="5">
        <v>1200</v>
      </c>
      <c r="F2" s="5">
        <v>80</v>
      </c>
      <c r="G2" s="5">
        <v>2</v>
      </c>
      <c r="H2" s="5" t="s">
        <v>9</v>
      </c>
    </row>
    <row r="3" spans="1:8" ht="18" x14ac:dyDescent="0.25">
      <c r="A3" s="5" t="s">
        <v>10</v>
      </c>
      <c r="B3" s="5">
        <v>0</v>
      </c>
      <c r="C3" s="5">
        <v>1</v>
      </c>
      <c r="D3" s="5">
        <v>0</v>
      </c>
      <c r="E3" s="5">
        <v>900</v>
      </c>
      <c r="F3" s="5">
        <v>60</v>
      </c>
      <c r="G3" s="5">
        <v>7</v>
      </c>
      <c r="H3" s="5" t="s">
        <v>11</v>
      </c>
    </row>
    <row r="4" spans="1:8" ht="18" x14ac:dyDescent="0.25">
      <c r="A4" s="2" t="s">
        <v>12</v>
      </c>
      <c r="B4" s="2">
        <v>1</v>
      </c>
      <c r="C4" s="2">
        <v>0</v>
      </c>
      <c r="D4" s="2">
        <v>0</v>
      </c>
      <c r="E4" s="2">
        <v>1500</v>
      </c>
      <c r="F4" s="2">
        <v>75</v>
      </c>
      <c r="G4" s="2">
        <v>3</v>
      </c>
      <c r="H4" s="2" t="s">
        <v>9</v>
      </c>
    </row>
    <row r="5" spans="1:8" ht="18" x14ac:dyDescent="0.25">
      <c r="A5" s="2" t="s">
        <v>13</v>
      </c>
      <c r="B5" s="2">
        <v>0</v>
      </c>
      <c r="C5" s="2">
        <v>0</v>
      </c>
      <c r="D5" s="2">
        <v>1</v>
      </c>
      <c r="E5" s="2">
        <v>2000</v>
      </c>
      <c r="F5" s="2">
        <v>50</v>
      </c>
      <c r="G5" s="2">
        <v>9</v>
      </c>
      <c r="H5" s="2" t="s">
        <v>11</v>
      </c>
    </row>
    <row r="6" spans="1:8" ht="18" x14ac:dyDescent="0.25">
      <c r="A6" s="5" t="s">
        <v>14</v>
      </c>
      <c r="B6" s="5">
        <v>0</v>
      </c>
      <c r="C6" s="5">
        <v>1</v>
      </c>
      <c r="D6" s="5">
        <v>0</v>
      </c>
      <c r="E6" s="5">
        <v>1100</v>
      </c>
      <c r="F6" s="5">
        <v>85</v>
      </c>
      <c r="G6" s="5">
        <v>1</v>
      </c>
      <c r="H6" s="5" t="s">
        <v>9</v>
      </c>
    </row>
    <row r="7" spans="1:8" x14ac:dyDescent="0.25">
      <c r="A7" s="3"/>
      <c r="B7" s="3"/>
      <c r="C7" s="3"/>
      <c r="D7" s="3"/>
      <c r="E7" s="3"/>
      <c r="F7" s="3"/>
      <c r="G7" s="3"/>
      <c r="H7" s="3"/>
    </row>
    <row r="8" spans="1:8" ht="18" x14ac:dyDescent="0.25">
      <c r="A8" s="2" t="s">
        <v>16</v>
      </c>
      <c r="B8" s="2">
        <v>1</v>
      </c>
      <c r="C8" s="2">
        <v>1</v>
      </c>
      <c r="D8" s="2">
        <v>0</v>
      </c>
      <c r="E8" s="2">
        <v>1100</v>
      </c>
      <c r="F8" s="2">
        <v>60</v>
      </c>
      <c r="G8" s="2">
        <v>4</v>
      </c>
      <c r="H8" s="2" t="s">
        <v>15</v>
      </c>
    </row>
    <row r="10" spans="1:8" ht="18" x14ac:dyDescent="0.25">
      <c r="A10" s="2" t="s">
        <v>22</v>
      </c>
      <c r="B10" t="s">
        <v>23</v>
      </c>
      <c r="C10" t="s">
        <v>24</v>
      </c>
    </row>
    <row r="11" spans="1:8" ht="18" x14ac:dyDescent="0.25">
      <c r="A11" s="2" t="s">
        <v>17</v>
      </c>
      <c r="B11" s="4">
        <f>SQRT(($B$8-B2)^2+($C$8-C2)^2+($D$8-D2^2)+($E$8-E2)^2+($F$8-F2)^2+($G$8-G2)^2)</f>
        <v>102.00490184299969</v>
      </c>
      <c r="C11" s="4">
        <v>2</v>
      </c>
    </row>
    <row r="12" spans="1:8" ht="18" x14ac:dyDescent="0.25">
      <c r="A12" s="2" t="s">
        <v>18</v>
      </c>
      <c r="B12" s="4">
        <f>SQRT(($B$8-B3)^2+($C$8-C3)^2+($D$8-D3^2)+($E$8-E3)^2+($F$8-F3)^2+($G$8-G3)^2)</f>
        <v>200.02499843769527</v>
      </c>
      <c r="C12" s="4">
        <v>3</v>
      </c>
    </row>
    <row r="13" spans="1:8" ht="18" x14ac:dyDescent="0.25">
      <c r="A13" s="2" t="s">
        <v>19</v>
      </c>
      <c r="B13">
        <f>SQRT(($B$8-B4)^2+($C$8-C4)^2+($D$8-D4^2)+($E$8-E4)^2+($F$8-F4)^2+($G$8-G4)^2)</f>
        <v>400.28364942875197</v>
      </c>
      <c r="C13">
        <v>4</v>
      </c>
    </row>
    <row r="14" spans="1:8" ht="18" x14ac:dyDescent="0.25">
      <c r="A14" s="2" t="s">
        <v>20</v>
      </c>
      <c r="B14">
        <f>SQRT(($B$8-B5)^2+($C$8-C5)^2+($D$8-D5^2)+($E$8-E5)^2+($F$8-F5)^2+($G$8-G5)^2)</f>
        <v>900.0699972779895</v>
      </c>
      <c r="C14">
        <v>5</v>
      </c>
    </row>
    <row r="15" spans="1:8" ht="18" x14ac:dyDescent="0.25">
      <c r="A15" s="2" t="s">
        <v>21</v>
      </c>
      <c r="B15" s="4">
        <f>SQRT(($B$8-B6)^2+($C$8-C6)^2+($D$8-D6^2)+($E$8-E6)^2+($F$8-F6)^2+($G$8-G6)^2)</f>
        <v>25.199206336708304</v>
      </c>
      <c r="C15" s="4">
        <v>1</v>
      </c>
    </row>
    <row r="18" spans="1:2" ht="18" x14ac:dyDescent="0.25">
      <c r="A18" s="2" t="s">
        <v>25</v>
      </c>
      <c r="B18" s="2" t="s">
        <v>9</v>
      </c>
    </row>
  </sheetData>
  <mergeCells count="1">
    <mergeCell ref="A7:H7"/>
  </mergeCells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"/>
  <sheetViews>
    <sheetView workbookViewId="0">
      <selection activeCell="B18" sqref="B18"/>
    </sheetView>
  </sheetViews>
  <sheetFormatPr defaultRowHeight="15" x14ac:dyDescent="0.25"/>
  <cols>
    <col min="1" max="1" width="18.7109375" bestFit="1" customWidth="1"/>
    <col min="2" max="2" width="17.28515625" bestFit="1" customWidth="1"/>
    <col min="3" max="3" width="20.5703125" bestFit="1" customWidth="1"/>
    <col min="4" max="4" width="16.7109375" bestFit="1" customWidth="1"/>
    <col min="5" max="5" width="8.42578125" bestFit="1" customWidth="1"/>
    <col min="6" max="6" width="15.5703125" bestFit="1" customWidth="1"/>
    <col min="7" max="7" width="9.5703125" bestFit="1" customWidth="1"/>
    <col min="8" max="8" width="16.85546875" bestFit="1" customWidth="1"/>
    <col min="9" max="9" width="23.5703125" bestFit="1" customWidth="1"/>
    <col min="10" max="10" width="24.7109375" bestFit="1" customWidth="1"/>
  </cols>
  <sheetData>
    <row r="1" spans="1:10" ht="3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27</v>
      </c>
      <c r="J1" s="1" t="s">
        <v>26</v>
      </c>
    </row>
    <row r="2" spans="1:10" ht="18" x14ac:dyDescent="0.25">
      <c r="A2" s="5" t="s">
        <v>8</v>
      </c>
      <c r="B2" s="5">
        <v>1</v>
      </c>
      <c r="C2" s="5">
        <v>0</v>
      </c>
      <c r="D2" s="5">
        <v>0</v>
      </c>
      <c r="E2" s="5">
        <v>1200</v>
      </c>
      <c r="F2" s="5">
        <v>80</v>
      </c>
      <c r="G2" s="5">
        <v>2</v>
      </c>
      <c r="H2" s="5" t="s">
        <v>9</v>
      </c>
      <c r="I2" s="5">
        <v>1</v>
      </c>
      <c r="J2" s="5">
        <v>0</v>
      </c>
    </row>
    <row r="3" spans="1:10" ht="18" x14ac:dyDescent="0.25">
      <c r="A3" s="5" t="s">
        <v>10</v>
      </c>
      <c r="B3" s="5">
        <v>0</v>
      </c>
      <c r="C3" s="5">
        <v>1</v>
      </c>
      <c r="D3" s="5">
        <v>0</v>
      </c>
      <c r="E3" s="5">
        <v>900</v>
      </c>
      <c r="F3" s="5">
        <v>60</v>
      </c>
      <c r="G3" s="5">
        <v>7</v>
      </c>
      <c r="H3" s="5" t="s">
        <v>11</v>
      </c>
      <c r="I3" s="5">
        <v>0</v>
      </c>
      <c r="J3" s="5">
        <v>1</v>
      </c>
    </row>
    <row r="4" spans="1:10" ht="18" x14ac:dyDescent="0.25">
      <c r="A4" s="6" t="s">
        <v>12</v>
      </c>
      <c r="B4" s="6">
        <v>1</v>
      </c>
      <c r="C4" s="6">
        <v>0</v>
      </c>
      <c r="D4" s="6">
        <v>0</v>
      </c>
      <c r="E4" s="6">
        <v>1500</v>
      </c>
      <c r="F4" s="6">
        <v>75</v>
      </c>
      <c r="G4" s="6">
        <v>3</v>
      </c>
      <c r="H4" s="6" t="s">
        <v>9</v>
      </c>
      <c r="I4" s="6">
        <v>1</v>
      </c>
      <c r="J4" s="6">
        <v>0</v>
      </c>
    </row>
    <row r="5" spans="1:10" ht="18" x14ac:dyDescent="0.25">
      <c r="A5" s="6" t="s">
        <v>13</v>
      </c>
      <c r="B5" s="6">
        <v>0</v>
      </c>
      <c r="C5" s="6">
        <v>0</v>
      </c>
      <c r="D5" s="6">
        <v>1</v>
      </c>
      <c r="E5" s="6">
        <v>2000</v>
      </c>
      <c r="F5" s="6">
        <v>50</v>
      </c>
      <c r="G5" s="6">
        <v>9</v>
      </c>
      <c r="H5" s="6" t="s">
        <v>11</v>
      </c>
      <c r="I5" s="6">
        <v>0</v>
      </c>
      <c r="J5" s="6">
        <v>1</v>
      </c>
    </row>
    <row r="6" spans="1:10" ht="18" x14ac:dyDescent="0.25">
      <c r="A6" s="5" t="s">
        <v>14</v>
      </c>
      <c r="B6" s="5">
        <v>0</v>
      </c>
      <c r="C6" s="5">
        <v>1</v>
      </c>
      <c r="D6" s="5">
        <v>0</v>
      </c>
      <c r="E6" s="5">
        <v>1100</v>
      </c>
      <c r="F6" s="5">
        <v>85</v>
      </c>
      <c r="G6" s="5">
        <v>1</v>
      </c>
      <c r="H6" s="5" t="s">
        <v>9</v>
      </c>
      <c r="I6" s="5">
        <v>1</v>
      </c>
      <c r="J6" s="5">
        <v>0</v>
      </c>
    </row>
    <row r="7" spans="1:10" x14ac:dyDescent="0.25">
      <c r="A7" s="7"/>
      <c r="B7" s="7"/>
      <c r="C7" s="7"/>
      <c r="D7" s="7"/>
      <c r="E7" s="7"/>
      <c r="F7" s="7"/>
      <c r="G7" s="7"/>
      <c r="H7" s="7"/>
    </row>
    <row r="8" spans="1:10" ht="18" x14ac:dyDescent="0.25">
      <c r="A8" s="6" t="s">
        <v>16</v>
      </c>
      <c r="B8" s="6">
        <v>1</v>
      </c>
      <c r="C8" s="6">
        <v>1</v>
      </c>
      <c r="D8" s="6">
        <v>0</v>
      </c>
      <c r="E8" s="6">
        <v>1100</v>
      </c>
      <c r="F8" s="6" t="s">
        <v>15</v>
      </c>
      <c r="G8" s="6">
        <v>4</v>
      </c>
      <c r="H8" s="6" t="s">
        <v>9</v>
      </c>
      <c r="I8" s="6">
        <v>1</v>
      </c>
      <c r="J8" s="6">
        <v>0</v>
      </c>
    </row>
    <row r="10" spans="1:10" ht="18" x14ac:dyDescent="0.25">
      <c r="A10" s="2" t="s">
        <v>22</v>
      </c>
      <c r="B10" t="s">
        <v>23</v>
      </c>
      <c r="C10" t="s">
        <v>24</v>
      </c>
    </row>
    <row r="11" spans="1:10" ht="18" x14ac:dyDescent="0.25">
      <c r="A11" s="5" t="s">
        <v>17</v>
      </c>
      <c r="B11" s="4">
        <f>SQRT(($B$8-B2)^2+($C$8-C2)^2+($D$8-D2^2)+($E$8-E2)^2+($G$8-G2)^2+($I$8-I2)^2+($J$8-J2)^2)</f>
        <v>100.024996875781</v>
      </c>
      <c r="C11" s="4">
        <v>2</v>
      </c>
    </row>
    <row r="12" spans="1:10" ht="18" x14ac:dyDescent="0.25">
      <c r="A12" s="5" t="s">
        <v>18</v>
      </c>
      <c r="B12" s="4">
        <f t="shared" ref="B12:B15" si="0">SQRT(($B$8-B3)^2+($C$8-C3)^2+($D$8-D3^2)+($E$8-E3)^2+($G$8-G3)^2+($I$8-I3)^2+($J$8-J3)^2)</f>
        <v>200.02999775033743</v>
      </c>
      <c r="C12" s="4">
        <v>3</v>
      </c>
    </row>
    <row r="13" spans="1:10" ht="18" x14ac:dyDescent="0.25">
      <c r="A13" s="6" t="s">
        <v>19</v>
      </c>
      <c r="B13" s="8">
        <f t="shared" si="0"/>
        <v>400.00249999218755</v>
      </c>
      <c r="C13" s="8">
        <v>4</v>
      </c>
    </row>
    <row r="14" spans="1:10" ht="18" x14ac:dyDescent="0.25">
      <c r="A14" s="6" t="s">
        <v>20</v>
      </c>
      <c r="B14" s="8">
        <f t="shared" si="0"/>
        <v>900.01555542112715</v>
      </c>
      <c r="C14" s="8">
        <v>5</v>
      </c>
    </row>
    <row r="15" spans="1:10" ht="18" x14ac:dyDescent="0.25">
      <c r="A15" s="5" t="s">
        <v>21</v>
      </c>
      <c r="B15" s="4">
        <f t="shared" si="0"/>
        <v>3.1622776601683795</v>
      </c>
      <c r="C15" s="4">
        <v>1</v>
      </c>
    </row>
    <row r="18" spans="1:2" ht="18" x14ac:dyDescent="0.25">
      <c r="A18" s="2" t="s">
        <v>28</v>
      </c>
      <c r="B18">
        <f>AVERAGE(F2:F3,F6)</f>
        <v>75</v>
      </c>
    </row>
  </sheetData>
  <mergeCells count="1">
    <mergeCell ref="A7:H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k-nn Classification</vt:lpstr>
      <vt:lpstr>k-NN Regression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2026-03-12T06:16:06Z</dcterms:created>
  <dcterms:modified xsi:type="dcterms:W3CDTF">2026-03-12T06:49:18Z</dcterms:modified>
</cp:coreProperties>
</file>